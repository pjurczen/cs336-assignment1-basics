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urczen/repo/cs336-assignment1-basics/cs336_basics/"/>
    </mc:Choice>
  </mc:AlternateContent>
  <xr:revisionPtr revIDLastSave="0" documentId="13_ncr:1_{8792CC94-F513-2D43-9ADD-CA66FE8D5468}" xr6:coauthVersionLast="47" xr6:coauthVersionMax="47" xr10:uidLastSave="{00000000-0000-0000-0000-000000000000}"/>
  <bookViews>
    <workbookView xWindow="27960" yWindow="6100" windowWidth="28040" windowHeight="17180" xr2:uid="{26344621-2517-994A-8B56-92295449E7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5" i="1"/>
  <c r="F13" i="1"/>
  <c r="F14" i="1" s="1"/>
  <c r="F11" i="1"/>
  <c r="F12" i="1" s="1"/>
  <c r="F8" i="1"/>
  <c r="F9" i="1" s="1"/>
  <c r="F7" i="1"/>
  <c r="F17" i="1" s="1"/>
  <c r="F18" i="1" s="1"/>
  <c r="C21" i="1"/>
  <c r="D21" i="1"/>
  <c r="E21" i="1"/>
  <c r="B21" i="1"/>
  <c r="C19" i="1"/>
  <c r="D19" i="1"/>
  <c r="E19" i="1"/>
  <c r="B19" i="1"/>
  <c r="C16" i="1"/>
  <c r="D16" i="1"/>
  <c r="E16" i="1"/>
  <c r="B16" i="1"/>
  <c r="C14" i="1"/>
  <c r="D14" i="1"/>
  <c r="E14" i="1"/>
  <c r="B14" i="1"/>
  <c r="C12" i="1"/>
  <c r="D12" i="1"/>
  <c r="E12" i="1"/>
  <c r="B12" i="1"/>
  <c r="C10" i="1"/>
  <c r="D10" i="1"/>
  <c r="E10" i="1"/>
  <c r="B10" i="1"/>
  <c r="C20" i="1"/>
  <c r="D20" i="1"/>
  <c r="E20" i="1"/>
  <c r="B20" i="1"/>
  <c r="B7" i="1"/>
  <c r="B17" i="1" s="1"/>
  <c r="B18" i="1" s="1"/>
  <c r="B22" i="1" s="1"/>
  <c r="C7" i="1"/>
  <c r="C17" i="1" s="1"/>
  <c r="C18" i="1" s="1"/>
  <c r="E7" i="1"/>
  <c r="E17" i="1" s="1"/>
  <c r="E18" i="1" s="1"/>
  <c r="D7" i="1"/>
  <c r="D17" i="1" s="1"/>
  <c r="D18" i="1" s="1"/>
  <c r="C8" i="1"/>
  <c r="C9" i="1" s="1"/>
  <c r="D8" i="1"/>
  <c r="D9" i="1" s="1"/>
  <c r="E8" i="1"/>
  <c r="E9" i="1" s="1"/>
  <c r="B8" i="1"/>
  <c r="B9" i="1" s="1"/>
  <c r="C15" i="1"/>
  <c r="D15" i="1"/>
  <c r="E15" i="1"/>
  <c r="B15" i="1"/>
  <c r="C13" i="1"/>
  <c r="D13" i="1"/>
  <c r="E13" i="1"/>
  <c r="B13" i="1"/>
  <c r="C11" i="1"/>
  <c r="D11" i="1"/>
  <c r="E11" i="1"/>
  <c r="B11" i="1"/>
  <c r="F16" i="1" l="1"/>
  <c r="F22" i="1"/>
  <c r="F21" i="1"/>
  <c r="C22" i="1"/>
  <c r="D22" i="1"/>
  <c r="E22" i="1"/>
  <c r="F19" i="1" l="1"/>
  <c r="F10" i="1"/>
</calcChain>
</file>

<file path=xl/sharedStrings.xml><?xml version="1.0" encoding="utf-8"?>
<sst xmlns="http://schemas.openxmlformats.org/spreadsheetml/2006/main" count="26" uniqueCount="21">
  <si>
    <t>n</t>
  </si>
  <si>
    <t>GPT-2 small</t>
  </si>
  <si>
    <t>GPT-2 medium</t>
  </si>
  <si>
    <t>GPT-2 large</t>
  </si>
  <si>
    <t>l</t>
  </si>
  <si>
    <t>h</t>
  </si>
  <si>
    <t>qkv</t>
  </si>
  <si>
    <t>dot attention</t>
  </si>
  <si>
    <t>attention out</t>
  </si>
  <si>
    <t>ffn in transf</t>
  </si>
  <si>
    <t>ffn all layers</t>
  </si>
  <si>
    <t>output proj</t>
  </si>
  <si>
    <t>all layers</t>
  </si>
  <si>
    <t>d</t>
  </si>
  <si>
    <t>GPT-2 XL</t>
  </si>
  <si>
    <t>attention all</t>
  </si>
  <si>
    <t>attention</t>
  </si>
  <si>
    <t>d_ff</t>
  </si>
  <si>
    <t>vocab</t>
  </si>
  <si>
    <t>% attention</t>
  </si>
  <si>
    <t>%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</si>
</sst>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415D-4646-4149-801E-043007B83619}">
  <dimension ref="A1:F22"/>
  <sheetViews>
    <sheetView tabSelected="1" workbookViewId="0">
      <selection activeCell="L11" sqref="L11"/>
    </sheetView>
  </sheetViews>
  <sheetFormatPr baseColWidth="10" defaultRowHeight="16" x14ac:dyDescent="0.2"/>
  <cols>
    <col min="2" max="2" width="12.1640625" bestFit="1" customWidth="1"/>
    <col min="3" max="3" width="12.83203125" bestFit="1" customWidth="1"/>
  </cols>
  <sheetData>
    <row r="1" spans="1:6" x14ac:dyDescent="0.2">
      <c r="B1" t="s">
        <v>1</v>
      </c>
      <c r="C1" t="s">
        <v>2</v>
      </c>
      <c r="D1" t="s">
        <v>3</v>
      </c>
      <c r="E1" t="s">
        <v>14</v>
      </c>
      <c r="F1" t="s">
        <v>14</v>
      </c>
    </row>
    <row r="2" spans="1:6" x14ac:dyDescent="0.2">
      <c r="A2" t="s">
        <v>18</v>
      </c>
      <c r="B2">
        <v>50257</v>
      </c>
      <c r="C2">
        <v>50257</v>
      </c>
      <c r="D2">
        <v>50257</v>
      </c>
      <c r="E2">
        <v>50257</v>
      </c>
      <c r="F2">
        <v>50257</v>
      </c>
    </row>
    <row r="3" spans="1:6" x14ac:dyDescent="0.2">
      <c r="A3" t="s">
        <v>4</v>
      </c>
      <c r="B3">
        <v>12</v>
      </c>
      <c r="C3">
        <v>24</v>
      </c>
      <c r="D3">
        <v>36</v>
      </c>
      <c r="E3">
        <v>48</v>
      </c>
      <c r="F3">
        <v>48</v>
      </c>
    </row>
    <row r="4" spans="1:6" x14ac:dyDescent="0.2">
      <c r="A4" t="s">
        <v>0</v>
      </c>
      <c r="B4">
        <v>1024</v>
      </c>
      <c r="C4">
        <v>1024</v>
      </c>
      <c r="D4">
        <v>1024</v>
      </c>
      <c r="E4">
        <v>1024</v>
      </c>
      <c r="F4">
        <v>16384</v>
      </c>
    </row>
    <row r="5" spans="1:6" x14ac:dyDescent="0.2">
      <c r="A5" t="s">
        <v>5</v>
      </c>
      <c r="B5">
        <v>12</v>
      </c>
      <c r="C5">
        <v>16</v>
      </c>
      <c r="D5">
        <v>20</v>
      </c>
      <c r="E5">
        <v>48</v>
      </c>
      <c r="F5">
        <v>48</v>
      </c>
    </row>
    <row r="6" spans="1:6" x14ac:dyDescent="0.2">
      <c r="A6" t="s">
        <v>13</v>
      </c>
      <c r="B6">
        <v>768</v>
      </c>
      <c r="C6">
        <v>1024</v>
      </c>
      <c r="D6">
        <v>1280</v>
      </c>
      <c r="E6">
        <v>1600</v>
      </c>
      <c r="F6">
        <v>1600</v>
      </c>
    </row>
    <row r="7" spans="1:6" x14ac:dyDescent="0.2">
      <c r="A7" t="s">
        <v>17</v>
      </c>
      <c r="B7">
        <f t="shared" ref="B7:C7" si="0">MROUND(8/3*B6, 64)</f>
        <v>2048</v>
      </c>
      <c r="C7">
        <f t="shared" si="0"/>
        <v>2752</v>
      </c>
      <c r="D7">
        <f>MROUND(8/3*D6, 64)</f>
        <v>3392</v>
      </c>
      <c r="E7">
        <f>MROUND(8/3*E6, 64)</f>
        <v>4288</v>
      </c>
      <c r="F7">
        <f>MROUND(8/3*F6, 64)</f>
        <v>4288</v>
      </c>
    </row>
    <row r="8" spans="1:6" x14ac:dyDescent="0.2">
      <c r="A8" t="s">
        <v>16</v>
      </c>
      <c r="B8" s="1">
        <f>8*B4*B6*B6+4*B4*B4*B6</f>
        <v>8053063680</v>
      </c>
      <c r="C8" s="1">
        <f t="shared" ref="C8:F8" si="1">8*C4*C6*C6+4*C4*C4*C6</f>
        <v>12884901888</v>
      </c>
      <c r="D8" s="1">
        <f t="shared" si="1"/>
        <v>18790481920</v>
      </c>
      <c r="E8" s="1">
        <f t="shared" si="1"/>
        <v>27682406400</v>
      </c>
      <c r="F8" s="1">
        <f t="shared" si="1"/>
        <v>2053531238400</v>
      </c>
    </row>
    <row r="9" spans="1:6" x14ac:dyDescent="0.2">
      <c r="A9" t="s">
        <v>15</v>
      </c>
      <c r="B9" s="1">
        <f>B8*B3</f>
        <v>96636764160</v>
      </c>
      <c r="C9" s="1">
        <f t="shared" ref="C9:F9" si="2">C8*C3</f>
        <v>309237645312</v>
      </c>
      <c r="D9" s="1">
        <f t="shared" si="2"/>
        <v>676457349120</v>
      </c>
      <c r="E9" s="1">
        <f t="shared" si="2"/>
        <v>1328755507200</v>
      </c>
      <c r="F9" s="1">
        <f t="shared" si="2"/>
        <v>98569499443200</v>
      </c>
    </row>
    <row r="10" spans="1:6" x14ac:dyDescent="0.2">
      <c r="A10" t="s">
        <v>20</v>
      </c>
      <c r="B10" s="2">
        <f>B9/B22</f>
        <v>0.33134690575704462</v>
      </c>
      <c r="C10" s="2">
        <f t="shared" ref="C10:F10" si="3">C9/C22</f>
        <v>0.37249814958431959</v>
      </c>
      <c r="D10" s="2">
        <f t="shared" si="3"/>
        <v>0.38249676494609725</v>
      </c>
      <c r="E10" s="2">
        <f t="shared" si="3"/>
        <v>0.37783407703639377</v>
      </c>
      <c r="F10" s="2">
        <f t="shared" si="3"/>
        <v>0.73791866136691642</v>
      </c>
    </row>
    <row r="11" spans="1:6" x14ac:dyDescent="0.2">
      <c r="A11" t="s">
        <v>6</v>
      </c>
      <c r="B11" s="1">
        <f>6*B4*B6*B6</f>
        <v>3623878656</v>
      </c>
      <c r="C11" s="1">
        <f t="shared" ref="C11:F11" si="4">6*C4*C6*C6</f>
        <v>6442450944</v>
      </c>
      <c r="D11" s="1">
        <f t="shared" si="4"/>
        <v>10066329600</v>
      </c>
      <c r="E11" s="1">
        <f t="shared" si="4"/>
        <v>15728640000</v>
      </c>
      <c r="F11" s="1">
        <f t="shared" si="4"/>
        <v>251658240000</v>
      </c>
    </row>
    <row r="12" spans="1:6" x14ac:dyDescent="0.2">
      <c r="A12" t="s">
        <v>19</v>
      </c>
      <c r="B12" s="2">
        <f>B11/B8</f>
        <v>0.45</v>
      </c>
      <c r="C12" s="2">
        <f t="shared" ref="C12:F12" si="5">C11/C8</f>
        <v>0.5</v>
      </c>
      <c r="D12" s="2">
        <f t="shared" si="5"/>
        <v>0.5357142857142857</v>
      </c>
      <c r="E12" s="2">
        <f t="shared" si="5"/>
        <v>0.56818181818181823</v>
      </c>
      <c r="F12" s="2">
        <f t="shared" si="5"/>
        <v>0.12254901960784313</v>
      </c>
    </row>
    <row r="13" spans="1:6" x14ac:dyDescent="0.2">
      <c r="A13" t="s">
        <v>7</v>
      </c>
      <c r="B13" s="1">
        <f>4*B4*B4*B6</f>
        <v>3221225472</v>
      </c>
      <c r="C13" s="1">
        <f t="shared" ref="C13:E13" si="6">4*C4*C4*C6</f>
        <v>4294967296</v>
      </c>
      <c r="D13" s="1">
        <f t="shared" si="6"/>
        <v>5368709120</v>
      </c>
      <c r="E13" s="1">
        <f t="shared" si="6"/>
        <v>6710886400</v>
      </c>
      <c r="F13" s="1">
        <f t="shared" ref="F13" si="7">4*F4*F4*F6</f>
        <v>1717986918400</v>
      </c>
    </row>
    <row r="14" spans="1:6" x14ac:dyDescent="0.2">
      <c r="A14" t="s">
        <v>19</v>
      </c>
      <c r="B14" s="2">
        <f>B13/B8</f>
        <v>0.4</v>
      </c>
      <c r="C14" s="2">
        <f t="shared" ref="C14:F14" si="8">C13/C8</f>
        <v>0.33333333333333331</v>
      </c>
      <c r="D14" s="2">
        <f t="shared" si="8"/>
        <v>0.2857142857142857</v>
      </c>
      <c r="E14" s="2">
        <f t="shared" si="8"/>
        <v>0.24242424242424243</v>
      </c>
      <c r="F14" s="2">
        <f t="shared" si="8"/>
        <v>0.83660130718954251</v>
      </c>
    </row>
    <row r="15" spans="1:6" x14ac:dyDescent="0.2">
      <c r="A15" t="s">
        <v>8</v>
      </c>
      <c r="B15" s="1">
        <f>2*B4*B6*B6</f>
        <v>1207959552</v>
      </c>
      <c r="C15" s="1">
        <f t="shared" ref="C15:E15" si="9">2*C4*C6*C6</f>
        <v>2147483648</v>
      </c>
      <c r="D15" s="1">
        <f t="shared" si="9"/>
        <v>3355443200</v>
      </c>
      <c r="E15" s="1">
        <f t="shared" si="9"/>
        <v>5242880000</v>
      </c>
      <c r="F15" s="1">
        <f t="shared" ref="F15" si="10">2*F4*F6*F6</f>
        <v>83886080000</v>
      </c>
    </row>
    <row r="16" spans="1:6" x14ac:dyDescent="0.2">
      <c r="A16" t="s">
        <v>19</v>
      </c>
      <c r="B16" s="2">
        <f>B15/B8</f>
        <v>0.15</v>
      </c>
      <c r="C16" s="2">
        <f t="shared" ref="C16:F16" si="11">C15/C8</f>
        <v>0.16666666666666666</v>
      </c>
      <c r="D16" s="2">
        <f t="shared" si="11"/>
        <v>0.17857142857142858</v>
      </c>
      <c r="E16" s="2">
        <f t="shared" si="11"/>
        <v>0.18939393939393939</v>
      </c>
      <c r="F16" s="2">
        <f t="shared" si="11"/>
        <v>4.084967320261438E-2</v>
      </c>
    </row>
    <row r="17" spans="1:6" x14ac:dyDescent="0.2">
      <c r="A17" t="s">
        <v>9</v>
      </c>
      <c r="B17" s="1">
        <f>6*B4*B6*B7</f>
        <v>9663676416</v>
      </c>
      <c r="C17" s="1">
        <f t="shared" ref="C17:E17" si="12">6*C4*C6*C7</f>
        <v>17314086912</v>
      </c>
      <c r="D17" s="1">
        <f t="shared" si="12"/>
        <v>26675773440</v>
      </c>
      <c r="E17" s="1">
        <f t="shared" si="12"/>
        <v>42152755200</v>
      </c>
      <c r="F17" s="1">
        <f t="shared" ref="F17" si="13">6*F4*F6*F7</f>
        <v>674444083200</v>
      </c>
    </row>
    <row r="18" spans="1:6" x14ac:dyDescent="0.2">
      <c r="A18" t="s">
        <v>10</v>
      </c>
      <c r="B18" s="1">
        <f>B17*B3</f>
        <v>115964116992</v>
      </c>
      <c r="C18" s="1">
        <f t="shared" ref="C18:F18" si="14">C17*C3</f>
        <v>415538085888</v>
      </c>
      <c r="D18" s="1">
        <f t="shared" si="14"/>
        <v>960327843840</v>
      </c>
      <c r="E18" s="1">
        <f t="shared" si="14"/>
        <v>2023332249600</v>
      </c>
      <c r="F18" s="1">
        <f t="shared" si="14"/>
        <v>32373315993600</v>
      </c>
    </row>
    <row r="19" spans="1:6" x14ac:dyDescent="0.2">
      <c r="A19" t="s">
        <v>20</v>
      </c>
      <c r="B19" s="2">
        <f>B18/B22</f>
        <v>0.39761628690845358</v>
      </c>
      <c r="C19" s="2">
        <f t="shared" ref="C19:F19" si="15">C18/C22</f>
        <v>0.50054438850392946</v>
      </c>
      <c r="D19" s="2">
        <f t="shared" si="15"/>
        <v>0.54300880023597731</v>
      </c>
      <c r="E19" s="2">
        <f t="shared" si="15"/>
        <v>0.57533825366905411</v>
      </c>
      <c r="F19" s="2">
        <f t="shared" si="15"/>
        <v>0.24235563878227157</v>
      </c>
    </row>
    <row r="20" spans="1:6" x14ac:dyDescent="0.2">
      <c r="A20" t="s">
        <v>11</v>
      </c>
      <c r="B20" s="1">
        <f>2*B4*B6*B2</f>
        <v>79047426048</v>
      </c>
      <c r="C20" s="1">
        <f t="shared" ref="C20:E20" si="16">2*C4*C6*C2</f>
        <v>105396568064</v>
      </c>
      <c r="D20" s="1">
        <f t="shared" si="16"/>
        <v>131745710080</v>
      </c>
      <c r="E20" s="1">
        <f t="shared" si="16"/>
        <v>164682137600</v>
      </c>
      <c r="F20" s="1">
        <f t="shared" ref="F20" si="17">2*F4*F6*F2</f>
        <v>2634914201600</v>
      </c>
    </row>
    <row r="21" spans="1:6" x14ac:dyDescent="0.2">
      <c r="A21" t="s">
        <v>20</v>
      </c>
      <c r="B21" s="2">
        <f>B20/B22</f>
        <v>0.27103680733450181</v>
      </c>
      <c r="C21" s="2">
        <f t="shared" ref="C21:F21" si="18">C20/C22</f>
        <v>0.12695746191175097</v>
      </c>
      <c r="D21" s="2">
        <f t="shared" si="18"/>
        <v>7.4494434817925392E-2</v>
      </c>
      <c r="E21" s="2">
        <f t="shared" si="18"/>
        <v>4.6827669294552066E-2</v>
      </c>
      <c r="F21" s="2">
        <f t="shared" si="18"/>
        <v>1.9725699850812056E-2</v>
      </c>
    </row>
    <row r="22" spans="1:6" x14ac:dyDescent="0.2">
      <c r="A22" t="s">
        <v>12</v>
      </c>
      <c r="B22" s="1">
        <f>B20+B18+B9</f>
        <v>291648307200</v>
      </c>
      <c r="C22" s="1">
        <f t="shared" ref="C22:E22" si="19">C20+C18+C9</f>
        <v>830172299264</v>
      </c>
      <c r="D22" s="1">
        <f t="shared" si="19"/>
        <v>1768530903040</v>
      </c>
      <c r="E22" s="1">
        <f t="shared" si="19"/>
        <v>3516769894400</v>
      </c>
      <c r="F22" s="1">
        <f t="shared" ref="F22" si="20">F20+F18+F9</f>
        <v>133577729638400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Jurczenko</dc:creator>
  <cp:lastModifiedBy>Piotr Jurczenko</cp:lastModifiedBy>
  <dcterms:created xsi:type="dcterms:W3CDTF">2026-10-23T09:39:28Z</dcterms:created>
  <dcterms:modified xsi:type="dcterms:W3CDTF">2026-10-25T12:50:38Z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60a5ec-0f3a-4814-ab5b-ac75c7458b99_Enabled">
    <vt:lpwstr>true</vt:lpwstr>
  </property>
  <property fmtid="{D5CDD505-2E9C-101B-9397-08002B2CF9AE}" pid="3" name="MSIP_Label_0c60a5ec-0f3a-4814-ab5b-ac75c7458b99_SetDate">
    <vt:lpwstr>2026-10-23T09:52:05Z</vt:lpwstr>
  </property>
  <property fmtid="{D5CDD505-2E9C-101B-9397-08002B2CF9AE}" pid="4" name="MSIP_Label_0c60a5ec-0f3a-4814-ab5b-ac75c7458b99_Method">
    <vt:lpwstr>Privileged</vt:lpwstr>
  </property>
  <property fmtid="{D5CDD505-2E9C-101B-9397-08002B2CF9AE}" pid="5" name="MSIP_Label_0c60a5ec-0f3a-4814-ab5b-ac75c7458b99_Name">
    <vt:lpwstr>Public</vt:lpwstr>
  </property>
  <property fmtid="{D5CDD505-2E9C-101B-9397-08002B2CF9AE}" pid="6" name="MSIP_Label_0c60a5ec-0f3a-4814-ab5b-ac75c7458b99_SiteId">
    <vt:lpwstr>44c16c2e-f526-47d5-92a1-8056be14148f</vt:lpwstr>
  </property>
  <property fmtid="{D5CDD505-2E9C-101B-9397-08002B2CF9AE}" pid="7" name="MSIP_Label_0c60a5ec-0f3a-4814-ab5b-ac75c7458b99_ActionId">
    <vt:lpwstr>5ec9f7a3-8d25-4ad4-b79f-eede6c1c17dc</vt:lpwstr>
  </property>
  <property fmtid="{D5CDD505-2E9C-101B-9397-08002B2CF9AE}" pid="8" name="MSIP_Label_0c60a5ec-0f3a-4814-ab5b-ac75c7458b99_ContentBits">
    <vt:lpwstr>0</vt:lpwstr>
  </property>
  <property fmtid="{D5CDD505-2E9C-101B-9397-08002B2CF9AE}" pid="9" name="MSIP_Label_0c60a5ec-0f3a-4814-ab5b-ac75c7458b99_Tag">
    <vt:lpwstr>50, 0, 1, 1</vt:lpwstr>
  </property>
</Properties>
</file>